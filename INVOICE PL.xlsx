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App\"/>
    </mc:Choice>
  </mc:AlternateContent>
  <xr:revisionPtr revIDLastSave="0" documentId="13_ncr:1_{26D6119A-C42B-413E-8D15-401F7974CD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B23" i="1" s="1"/>
  <c r="G26" i="1"/>
  <c r="G25" i="1"/>
  <c r="G24" i="1"/>
  <c r="G23" i="1"/>
  <c r="B48" i="1" l="1"/>
  <c r="B47" i="1"/>
  <c r="G43" i="1"/>
</calcChain>
</file>

<file path=xl/sharedStrings.xml><?xml version="1.0" encoding="utf-8"?>
<sst xmlns="http://schemas.openxmlformats.org/spreadsheetml/2006/main" count="89" uniqueCount="80">
  <si>
    <t>Exporter:</t>
  </si>
  <si>
    <t>Invoice No</t>
  </si>
  <si>
    <t>Dated</t>
  </si>
  <si>
    <t>TERMS OF PAYMENT</t>
  </si>
  <si>
    <t>Terms of Delivery</t>
  </si>
  <si>
    <t>15% Advance</t>
  </si>
  <si>
    <t xml:space="preserve"> </t>
  </si>
  <si>
    <t>Supplier's Ref</t>
  </si>
  <si>
    <t>Date</t>
  </si>
  <si>
    <t>Consignee:</t>
  </si>
  <si>
    <t>PAN NO</t>
  </si>
  <si>
    <t>GST NO</t>
  </si>
  <si>
    <t>AD-CODE</t>
  </si>
  <si>
    <t>IEC CODE</t>
  </si>
  <si>
    <t>0180021-6200019</t>
  </si>
  <si>
    <t>Despatched through</t>
  </si>
  <si>
    <t>Destination</t>
  </si>
  <si>
    <t xml:space="preserve">Notify Party: </t>
  </si>
  <si>
    <t>NHAVA-SHEVA MUMBAI</t>
  </si>
  <si>
    <t>Enduse code</t>
  </si>
  <si>
    <t>State Code</t>
  </si>
  <si>
    <t>GNX100</t>
  </si>
  <si>
    <t>27-Maharashtra</t>
  </si>
  <si>
    <t>20FT X 1 CONTAINER</t>
  </si>
  <si>
    <t>Marks &amp; Nos.</t>
  </si>
  <si>
    <t>No. &amp; Kind</t>
  </si>
  <si>
    <t>Description of Goods</t>
  </si>
  <si>
    <t>HS CODE</t>
  </si>
  <si>
    <t>QUANTITY</t>
  </si>
  <si>
    <t>RATE / DOZ</t>
  </si>
  <si>
    <t xml:space="preserve">AMOUNT </t>
  </si>
  <si>
    <t>of Pkgs.</t>
  </si>
  <si>
    <t>CARTONS</t>
  </si>
  <si>
    <t>USD</t>
  </si>
  <si>
    <t>Ingredients, Mfg Date, B.no Mentioned in</t>
  </si>
  <si>
    <t>English &amp; Arabic language.</t>
  </si>
  <si>
    <t>Amount Chargable ( in words )</t>
  </si>
  <si>
    <t>NET WT:</t>
  </si>
  <si>
    <t xml:space="preserve">GROSS WT: </t>
  </si>
  <si>
    <t>SUPPLY MEANT FOR EXPORT UNDER LETTER OF UNDERTAKING WITHOUT PAYMENT OF IGST.</t>
  </si>
  <si>
    <t>Application Reference Number (ARN) is AD270324174097Y Dated 25/03/2024</t>
  </si>
  <si>
    <t>EXPORT UNDER DUTY DRAWBACK</t>
  </si>
  <si>
    <t>WE INTEND TO CLAIM REWARDS UNDER REMISSION OF DUTIES AND TAKES ON EXPORTED PRODUCTS (RoDTEP) SCHEME.</t>
  </si>
  <si>
    <t>WE HEREBY DECLARE THAT WE WILL AVAIL</t>
  </si>
  <si>
    <t>BENEFIT OF CHAPTER 3 OF FOREIGN TRADE POLICY</t>
  </si>
  <si>
    <t>Declaration:</t>
  </si>
  <si>
    <t>We declare that this invoice shows the actual price of the goods described</t>
  </si>
  <si>
    <t>and that all particulars are true and correct.</t>
  </si>
  <si>
    <t xml:space="preserve">                                                 Authorised Signatory</t>
  </si>
  <si>
    <t>Virginia Green Garden Orange Fruit Jelly 250g x 24</t>
  </si>
  <si>
    <t>Virginia Green Garden Strawberry Fruit Jelly 250g x 24</t>
  </si>
  <si>
    <t>Virginia Green Garden Grape Fruit Jelly 250g x 24</t>
  </si>
  <si>
    <t>Virginia Green Garden Watermelon Fruit Jelly 250g x 24</t>
  </si>
  <si>
    <t> 17049010</t>
  </si>
  <si>
    <t>INDIA</t>
  </si>
  <si>
    <t>RANREA GENERAL TRADING LLC</t>
  </si>
  <si>
    <t>DUBAI INVESTMENT PARK 2</t>
  </si>
  <si>
    <t>NEXT   TO DUBAI  REFRESHMENT CO.</t>
  </si>
  <si>
    <t>AL WOROOD 2 STREET, DUBAI, UAE</t>
  </si>
  <si>
    <t>LAN NO: 0097148866900</t>
  </si>
  <si>
    <t>250gm PET bottle with cap</t>
  </si>
  <si>
    <t xml:space="preserve">Virginia </t>
  </si>
  <si>
    <t xml:space="preserve">Green </t>
  </si>
  <si>
    <t>Garden</t>
  </si>
  <si>
    <t>MIRAS IMPEX</t>
  </si>
  <si>
    <t>SR NO 45/1/1,  MILKAT NO 1043</t>
  </si>
  <si>
    <t>UNDRI PISOLI, UNDRI, PUNE 411060</t>
  </si>
  <si>
    <t>27FCKPM3949H1Z2</t>
  </si>
  <si>
    <t>FCKPM3949H</t>
  </si>
  <si>
    <t>COMMERCIAL INVOICE</t>
  </si>
  <si>
    <t>MI/EXP/CI/10</t>
  </si>
  <si>
    <t>27.09.2025</t>
  </si>
  <si>
    <t>C&amp;F JEBEL ALI,UAE</t>
  </si>
  <si>
    <t>Batch No: B09205</t>
  </si>
  <si>
    <t>Dt Mfg: 20.09.2025</t>
  </si>
  <si>
    <t>Dt Exp:  19.09.2027</t>
  </si>
  <si>
    <t>JEBEL ALI,UAE</t>
  </si>
  <si>
    <t>INCOTERM 2020 C&amp;F JEBEL ALI,UAE</t>
  </si>
  <si>
    <t xml:space="preserve">                                    For MIRAS IMPEX</t>
  </si>
  <si>
    <t>UNITED STATE DOLLARS : SIXTEEN THOUSAND NINETY NINE AND CENT TWENTY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</si>
</sst>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 $&quot;#,##0.00&quot; &quot;;&quot; $(&quot;#,##0.00&quot;)&quot;;&quot; $-&quot;00&quot; &quot;;&quot; &quot;@&quot; 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Border="0" applyProtection="0"/>
    <xf numFmtId="165" fontId="3" fillId="0" borderId="0" applyFont="0" applyFill="0" applyBorder="0" applyAlignment="0" applyProtection="0"/>
  </cellStyleXfs>
  <cellXfs count="70">
    <xf numFmtId="0" fontId="0" fillId="0" borderId="0" xfId="0"/>
    <xf numFmtId="0" fontId="1" fillId="0" borderId="7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2" fontId="1" fillId="0" borderId="1" xfId="1" applyNumberFormat="1" applyFont="1" applyBorder="1" applyAlignment="1">
      <alignment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vertical="center"/>
    </xf>
    <xf numFmtId="15" fontId="1" fillId="0" borderId="4" xfId="1" applyNumberFormat="1" applyFont="1" applyBorder="1" applyAlignment="1">
      <alignment horizontal="left" vertical="center"/>
    </xf>
    <xf numFmtId="15" fontId="1" fillId="0" borderId="6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2" fontId="1" fillId="0" borderId="4" xfId="1" applyNumberFormat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1" fontId="1" fillId="0" borderId="4" xfId="1" applyNumberFormat="1" applyFont="1" applyBorder="1" applyAlignment="1">
      <alignment horizontal="left" vertical="center"/>
    </xf>
    <xf numFmtId="1" fontId="1" fillId="0" borderId="6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2" fontId="1" fillId="0" borderId="2" xfId="1" applyNumberFormat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6" xfId="1" applyFont="1" applyBorder="1" applyAlignment="1">
      <alignment vertical="center"/>
    </xf>
    <xf numFmtId="2" fontId="1" fillId="0" borderId="16" xfId="1" applyNumberFormat="1" applyFont="1" applyBorder="1" applyAlignment="1">
      <alignment vertical="center"/>
    </xf>
    <xf numFmtId="1" fontId="1" fillId="0" borderId="16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1" fillId="0" borderId="0" xfId="1" applyNumberFormat="1" applyFont="1" applyBorder="1" applyAlignment="1">
      <alignment horizontal="right" vertical="center"/>
    </xf>
    <xf numFmtId="2" fontId="1" fillId="0" borderId="8" xfId="1" applyNumberFormat="1" applyFont="1" applyBorder="1" applyAlignment="1">
      <alignment horizontal="right" vertical="center"/>
    </xf>
    <xf numFmtId="0" fontId="1" fillId="0" borderId="15" xfId="1" applyFont="1" applyBorder="1" applyAlignment="1">
      <alignment vertical="center"/>
    </xf>
    <xf numFmtId="0" fontId="1" fillId="0" borderId="16" xfId="1" applyFont="1" applyBorder="1" applyAlignment="1">
      <alignment horizontal="right" vertical="center"/>
    </xf>
    <xf numFmtId="164" fontId="1" fillId="0" borderId="16" xfId="1" applyNumberFormat="1" applyFont="1" applyBorder="1" applyAlignment="1">
      <alignment vertical="center"/>
    </xf>
    <xf numFmtId="164" fontId="1" fillId="0" borderId="8" xfId="2" applyNumberFormat="1" applyFont="1" applyBorder="1" applyAlignment="1">
      <alignment vertical="center"/>
    </xf>
    <xf numFmtId="164" fontId="1" fillId="0" borderId="8" xfId="2" applyNumberFormat="1" applyFont="1" applyBorder="1" applyAlignment="1">
      <alignment horizontal="right" vertical="center"/>
    </xf>
    <xf numFmtId="0" fontId="1" fillId="0" borderId="16" xfId="1" applyFont="1" applyBorder="1" applyAlignment="1">
      <alignment horizontal="left" vertical="center"/>
    </xf>
    <xf numFmtId="2" fontId="1" fillId="0" borderId="19" xfId="1" applyNumberFormat="1" applyFont="1" applyBorder="1" applyAlignment="1">
      <alignment vertical="center"/>
    </xf>
    <xf numFmtId="2" fontId="1" fillId="0" borderId="20" xfId="1" applyNumberFormat="1" applyFont="1" applyBorder="1" applyAlignment="1">
      <alignment vertical="center"/>
    </xf>
    <xf numFmtId="2" fontId="4" fillId="0" borderId="0" xfId="1" applyNumberFormat="1" applyFont="1" applyBorder="1" applyAlignment="1">
      <alignment horizontal="right" vertical="center"/>
    </xf>
    <xf numFmtId="2" fontId="4" fillId="0" borderId="8" xfId="1" applyNumberFormat="1" applyFont="1" applyBorder="1" applyAlignment="1">
      <alignment horizontal="right" vertical="center"/>
    </xf>
    <xf numFmtId="0" fontId="4" fillId="0" borderId="0" xfId="1" applyFont="1" applyBorder="1" applyAlignment="1">
      <alignment vertical="center"/>
    </xf>
    <xf numFmtId="2" fontId="1" fillId="0" borderId="0" xfId="1" applyNumberFormat="1" applyFont="1" applyBorder="1" applyAlignment="1">
      <alignment horizontal="left" vertical="center"/>
    </xf>
    <xf numFmtId="2" fontId="1" fillId="0" borderId="0" xfId="1" applyNumberFormat="1" applyFont="1" applyBorder="1" applyAlignment="1">
      <alignment vertical="center"/>
    </xf>
    <xf numFmtId="0" fontId="1" fillId="0" borderId="7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2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left" vertical="center"/>
    </xf>
    <xf numFmtId="1" fontId="1" fillId="0" borderId="6" xfId="1" applyNumberFormat="1" applyFont="1" applyBorder="1" applyAlignment="1">
      <alignment horizontal="left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7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10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7"/>
  <sheetViews>
    <sheetView tabSelected="1" topLeftCell="A57" workbookViewId="0">
      <selection activeCell="C11" sqref="C11"/>
    </sheetView>
  </sheetViews>
  <sheetFormatPr defaultRowHeight="14.4" x14ac:dyDescent="0.3"/>
  <cols>
    <col min="1" max="1" width="11.109375" customWidth="1"/>
    <col min="2" max="2" width="22.6640625" bestFit="1" customWidth="1"/>
    <col min="3" max="3" width="51.33203125" bestFit="1" customWidth="1"/>
    <col min="4" max="4" width="11.88671875" customWidth="1"/>
    <col min="5" max="5" width="11" customWidth="1"/>
    <col min="6" max="6" width="12.44140625" customWidth="1"/>
    <col min="7" max="7" width="16.6640625" customWidth="1"/>
  </cols>
  <sheetData>
    <row r="1" spans="1:7" x14ac:dyDescent="0.3">
      <c r="A1" s="53" t="s">
        <v>69</v>
      </c>
      <c r="B1" s="54"/>
      <c r="C1" s="54"/>
      <c r="D1" s="54"/>
      <c r="E1" s="54"/>
      <c r="F1" s="54"/>
      <c r="G1" s="55"/>
    </row>
    <row r="2" spans="1:7" ht="15" thickBot="1" x14ac:dyDescent="0.35">
      <c r="A2" s="56"/>
      <c r="B2" s="57"/>
      <c r="C2" s="57"/>
      <c r="D2" s="57"/>
      <c r="E2" s="57"/>
      <c r="F2" s="57"/>
      <c r="G2" s="58"/>
    </row>
    <row r="3" spans="1:7" x14ac:dyDescent="0.3">
      <c r="A3" s="1" t="s">
        <v>0</v>
      </c>
      <c r="B3" s="2"/>
      <c r="C3" s="2"/>
      <c r="D3" s="3" t="s">
        <v>1</v>
      </c>
      <c r="E3" s="4"/>
      <c r="F3" s="5" t="s">
        <v>2</v>
      </c>
      <c r="G3" s="4"/>
    </row>
    <row r="4" spans="1:7" ht="15" thickBot="1" x14ac:dyDescent="0.35">
      <c r="A4" s="1" t="s">
        <v>64</v>
      </c>
      <c r="B4" s="2"/>
      <c r="C4" s="2"/>
      <c r="D4" s="6" t="s">
        <v>70</v>
      </c>
      <c r="E4" s="7"/>
      <c r="F4" s="8" t="s">
        <v>71</v>
      </c>
      <c r="G4" s="9"/>
    </row>
    <row r="5" spans="1:7" x14ac:dyDescent="0.3">
      <c r="A5" s="1" t="s">
        <v>65</v>
      </c>
      <c r="B5" s="2"/>
      <c r="C5" s="2"/>
      <c r="D5" s="3" t="s">
        <v>3</v>
      </c>
      <c r="E5" s="4"/>
      <c r="F5" s="5" t="s">
        <v>4</v>
      </c>
      <c r="G5" s="4"/>
    </row>
    <row r="6" spans="1:7" ht="15" thickBot="1" x14ac:dyDescent="0.35">
      <c r="A6" s="1" t="s">
        <v>66</v>
      </c>
      <c r="B6" s="2"/>
      <c r="C6" s="2"/>
      <c r="D6" s="10" t="s">
        <v>5</v>
      </c>
      <c r="E6" s="7" t="s">
        <v>6</v>
      </c>
      <c r="F6" s="11" t="s">
        <v>72</v>
      </c>
      <c r="G6" s="7"/>
    </row>
    <row r="7" spans="1:7" x14ac:dyDescent="0.3">
      <c r="A7" s="1" t="s">
        <v>54</v>
      </c>
      <c r="B7" s="2"/>
      <c r="C7" s="2"/>
      <c r="D7" s="3" t="s">
        <v>7</v>
      </c>
      <c r="E7" s="4"/>
      <c r="F7" s="5" t="s">
        <v>8</v>
      </c>
      <c r="G7" s="4"/>
    </row>
    <row r="8" spans="1:7" ht="15" thickBot="1" x14ac:dyDescent="0.35">
      <c r="A8" s="1"/>
      <c r="B8" s="2"/>
      <c r="C8" s="2"/>
      <c r="D8" s="6"/>
      <c r="E8" s="7"/>
      <c r="F8" s="8"/>
      <c r="G8" s="9"/>
    </row>
    <row r="9" spans="1:7" x14ac:dyDescent="0.3">
      <c r="A9" s="3" t="s">
        <v>9</v>
      </c>
      <c r="B9" s="12"/>
      <c r="C9" s="12"/>
      <c r="D9" s="3" t="s">
        <v>10</v>
      </c>
      <c r="E9" s="4"/>
      <c r="F9" s="3" t="s">
        <v>11</v>
      </c>
      <c r="G9" s="4"/>
    </row>
    <row r="10" spans="1:7" ht="15" thickBot="1" x14ac:dyDescent="0.35">
      <c r="A10" s="47" t="s">
        <v>55</v>
      </c>
      <c r="B10" s="48"/>
      <c r="C10" s="49"/>
      <c r="D10" s="10" t="s">
        <v>68</v>
      </c>
      <c r="E10" s="7"/>
      <c r="F10" s="13" t="s">
        <v>67</v>
      </c>
      <c r="G10" s="14"/>
    </row>
    <row r="11" spans="1:7" x14ac:dyDescent="0.3">
      <c r="A11" s="47" t="s">
        <v>56</v>
      </c>
      <c r="B11" s="48"/>
      <c r="C11" s="49"/>
      <c r="D11" s="3" t="s">
        <v>12</v>
      </c>
      <c r="E11" s="4"/>
      <c r="F11" s="3" t="s">
        <v>13</v>
      </c>
      <c r="G11" s="4"/>
    </row>
    <row r="12" spans="1:7" ht="15" thickBot="1" x14ac:dyDescent="0.35">
      <c r="A12" s="47" t="s">
        <v>57</v>
      </c>
      <c r="B12" s="48"/>
      <c r="C12" s="49"/>
      <c r="D12" s="15" t="s">
        <v>14</v>
      </c>
      <c r="E12" s="7"/>
      <c r="F12" s="59" t="s">
        <v>68</v>
      </c>
      <c r="G12" s="60"/>
    </row>
    <row r="13" spans="1:7" ht="15" thickBot="1" x14ac:dyDescent="0.35">
      <c r="A13" s="47" t="s">
        <v>58</v>
      </c>
      <c r="B13" s="48"/>
      <c r="C13" s="49" t="s">
        <v>59</v>
      </c>
      <c r="D13" s="3" t="s">
        <v>15</v>
      </c>
      <c r="E13" s="4"/>
      <c r="F13" s="16" t="s">
        <v>16</v>
      </c>
      <c r="G13" s="4"/>
    </row>
    <row r="14" spans="1:7" ht="15" thickBot="1" x14ac:dyDescent="0.35">
      <c r="A14" s="3" t="s">
        <v>17</v>
      </c>
      <c r="B14" s="12"/>
      <c r="C14" s="4"/>
      <c r="D14" s="15" t="s">
        <v>18</v>
      </c>
      <c r="E14" s="7"/>
      <c r="F14" s="15" t="s">
        <v>76</v>
      </c>
      <c r="G14" s="7"/>
    </row>
    <row r="15" spans="1:7" x14ac:dyDescent="0.3">
      <c r="A15" s="47" t="s">
        <v>55</v>
      </c>
      <c r="B15" s="48"/>
      <c r="C15" s="49"/>
      <c r="D15" s="2" t="s">
        <v>19</v>
      </c>
      <c r="E15" s="17"/>
      <c r="F15" s="2" t="s">
        <v>20</v>
      </c>
      <c r="G15" s="17"/>
    </row>
    <row r="16" spans="1:7" ht="15" thickBot="1" x14ac:dyDescent="0.35">
      <c r="A16" s="47" t="s">
        <v>56</v>
      </c>
      <c r="B16" s="48"/>
      <c r="C16" s="49"/>
      <c r="D16" s="15" t="s">
        <v>21</v>
      </c>
      <c r="E16" s="7"/>
      <c r="F16" s="15" t="s">
        <v>22</v>
      </c>
      <c r="G16" s="7"/>
    </row>
    <row r="17" spans="1:7" x14ac:dyDescent="0.3">
      <c r="A17" s="47" t="s">
        <v>57</v>
      </c>
      <c r="B17" s="48"/>
      <c r="C17" s="49"/>
      <c r="D17" s="54" t="s">
        <v>23</v>
      </c>
      <c r="E17" s="54"/>
      <c r="F17" s="54"/>
      <c r="G17" s="55"/>
    </row>
    <row r="18" spans="1:7" ht="15" thickBot="1" x14ac:dyDescent="0.35">
      <c r="A18" s="47" t="s">
        <v>58</v>
      </c>
      <c r="B18" s="48"/>
      <c r="C18" s="49" t="s">
        <v>59</v>
      </c>
      <c r="D18" s="57"/>
      <c r="E18" s="57"/>
      <c r="F18" s="57"/>
      <c r="G18" s="58"/>
    </row>
    <row r="19" spans="1:7" x14ac:dyDescent="0.3">
      <c r="A19" s="51" t="s">
        <v>24</v>
      </c>
      <c r="B19" s="50" t="s">
        <v>25</v>
      </c>
      <c r="C19" s="66" t="s">
        <v>26</v>
      </c>
      <c r="D19" s="68" t="s">
        <v>27</v>
      </c>
      <c r="E19" s="18" t="s">
        <v>28</v>
      </c>
      <c r="F19" s="18" t="s">
        <v>29</v>
      </c>
      <c r="G19" s="19" t="s">
        <v>30</v>
      </c>
    </row>
    <row r="20" spans="1:7" ht="15" thickBot="1" x14ac:dyDescent="0.35">
      <c r="A20" s="52"/>
      <c r="B20" s="20" t="s">
        <v>31</v>
      </c>
      <c r="C20" s="67"/>
      <c r="D20" s="69"/>
      <c r="E20" s="21" t="s">
        <v>32</v>
      </c>
      <c r="F20" s="21" t="s">
        <v>33</v>
      </c>
      <c r="G20" s="22" t="s">
        <v>33</v>
      </c>
    </row>
    <row r="21" spans="1:7" x14ac:dyDescent="0.3">
      <c r="A21" s="23"/>
      <c r="B21" s="24"/>
      <c r="C21" s="24"/>
      <c r="D21" s="25"/>
      <c r="E21" s="25"/>
      <c r="F21" s="26"/>
      <c r="G21" s="17"/>
    </row>
    <row r="22" spans="1:7" x14ac:dyDescent="0.3">
      <c r="A22" s="23"/>
      <c r="B22" s="24"/>
      <c r="C22" s="25"/>
      <c r="D22" s="24"/>
      <c r="E22" s="25"/>
      <c r="F22" s="26"/>
      <c r="G22" s="17"/>
    </row>
    <row r="23" spans="1:7" x14ac:dyDescent="0.3">
      <c r="A23" s="23" t="s">
        <v>61</v>
      </c>
      <c r="B23" s="27">
        <f>E43</f>
        <v>960</v>
      </c>
      <c r="C23" s="28" t="s">
        <v>49</v>
      </c>
      <c r="D23" s="27">
        <v>17049010</v>
      </c>
      <c r="E23" s="29">
        <v>216</v>
      </c>
      <c r="F23" s="26">
        <v>16.77</v>
      </c>
      <c r="G23" s="30">
        <f>E23*F23</f>
        <v>3622.3199999999997</v>
      </c>
    </row>
    <row r="24" spans="1:7" x14ac:dyDescent="0.3">
      <c r="A24" s="23" t="s">
        <v>62</v>
      </c>
      <c r="B24" s="24" t="s">
        <v>32</v>
      </c>
      <c r="C24" s="28" t="s">
        <v>50</v>
      </c>
      <c r="D24" s="27">
        <v>17049010</v>
      </c>
      <c r="E24" s="29">
        <v>234</v>
      </c>
      <c r="F24" s="26">
        <v>16.77</v>
      </c>
      <c r="G24" s="30">
        <f t="shared" ref="G24" si="0">E24*F24</f>
        <v>3924.18</v>
      </c>
    </row>
    <row r="25" spans="1:7" x14ac:dyDescent="0.3">
      <c r="A25" s="31" t="s">
        <v>63</v>
      </c>
      <c r="B25" s="32"/>
      <c r="C25" s="28" t="s">
        <v>51</v>
      </c>
      <c r="D25" s="27" t="s">
        <v>53</v>
      </c>
      <c r="E25" s="29">
        <v>232</v>
      </c>
      <c r="F25" s="26">
        <v>16.77</v>
      </c>
      <c r="G25" s="30">
        <f>E25*F25</f>
        <v>3890.64</v>
      </c>
    </row>
    <row r="26" spans="1:7" x14ac:dyDescent="0.3">
      <c r="A26" s="31"/>
      <c r="B26" s="32"/>
      <c r="C26" s="28" t="s">
        <v>52</v>
      </c>
      <c r="D26" s="27">
        <v>17049010</v>
      </c>
      <c r="E26" s="29">
        <v>278</v>
      </c>
      <c r="F26" s="26">
        <v>16.77</v>
      </c>
      <c r="G26" s="30">
        <f t="shared" ref="G26" si="1">E26*F26</f>
        <v>4662.0599999999995</v>
      </c>
    </row>
    <row r="27" spans="1:7" x14ac:dyDescent="0.3">
      <c r="A27" s="31"/>
      <c r="B27" s="32"/>
      <c r="C27" s="25"/>
      <c r="D27" s="27"/>
      <c r="E27" s="26"/>
      <c r="F27" s="26"/>
      <c r="G27" s="30"/>
    </row>
    <row r="28" spans="1:7" x14ac:dyDescent="0.3">
      <c r="A28" s="31"/>
      <c r="B28" s="32"/>
      <c r="C28" s="32"/>
      <c r="D28" s="27"/>
      <c r="E28" s="26"/>
      <c r="F28" s="26"/>
      <c r="G28" s="30"/>
    </row>
    <row r="29" spans="1:7" x14ac:dyDescent="0.3">
      <c r="A29" s="31"/>
      <c r="B29" s="32"/>
      <c r="C29" s="25"/>
      <c r="D29" s="33"/>
      <c r="E29" s="33"/>
      <c r="F29" s="33"/>
      <c r="G29" s="34"/>
    </row>
    <row r="30" spans="1:7" x14ac:dyDescent="0.3">
      <c r="A30" s="31"/>
      <c r="B30" s="32"/>
      <c r="C30" s="25" t="s">
        <v>60</v>
      </c>
      <c r="D30" s="33"/>
      <c r="E30" s="33"/>
      <c r="F30" s="33"/>
      <c r="G30" s="34"/>
    </row>
    <row r="31" spans="1:7" x14ac:dyDescent="0.3">
      <c r="A31" s="31"/>
      <c r="B31" s="32"/>
      <c r="C31" s="25" t="s">
        <v>34</v>
      </c>
      <c r="D31" s="33"/>
      <c r="E31" s="33"/>
      <c r="F31" s="33"/>
      <c r="G31" s="34"/>
    </row>
    <row r="32" spans="1:7" x14ac:dyDescent="0.3">
      <c r="A32" s="31"/>
      <c r="B32" s="32"/>
      <c r="C32" s="25" t="s">
        <v>35</v>
      </c>
      <c r="D32" s="33"/>
      <c r="E32" s="33"/>
      <c r="F32" s="33"/>
      <c r="G32" s="35"/>
    </row>
    <row r="33" spans="1:7" x14ac:dyDescent="0.3">
      <c r="A33" s="31"/>
      <c r="B33" s="32"/>
      <c r="C33" s="25"/>
      <c r="D33" s="33"/>
      <c r="E33" s="33"/>
      <c r="F33" s="33"/>
      <c r="G33" s="34"/>
    </row>
    <row r="34" spans="1:7" x14ac:dyDescent="0.3">
      <c r="A34" s="31"/>
      <c r="B34" s="32"/>
      <c r="C34" s="36" t="s">
        <v>73</v>
      </c>
      <c r="D34" s="33"/>
      <c r="E34" s="33"/>
      <c r="F34" s="33"/>
      <c r="G34" s="34"/>
    </row>
    <row r="35" spans="1:7" x14ac:dyDescent="0.3">
      <c r="A35" s="31"/>
      <c r="B35" s="32"/>
      <c r="C35" s="36" t="s">
        <v>74</v>
      </c>
      <c r="D35" s="33"/>
      <c r="E35" s="33"/>
      <c r="F35" s="33"/>
      <c r="G35" s="34"/>
    </row>
    <row r="36" spans="1:7" x14ac:dyDescent="0.3">
      <c r="A36" s="31"/>
      <c r="B36" s="32"/>
      <c r="C36" s="36" t="s">
        <v>75</v>
      </c>
      <c r="D36" s="33"/>
      <c r="E36" s="33"/>
      <c r="F36" s="33"/>
      <c r="G36" s="34"/>
    </row>
    <row r="37" spans="1:7" x14ac:dyDescent="0.3">
      <c r="A37" s="31"/>
      <c r="B37" s="32"/>
      <c r="C37" s="36"/>
      <c r="D37" s="33"/>
      <c r="E37" s="33"/>
      <c r="F37" s="33"/>
      <c r="G37" s="34"/>
    </row>
    <row r="38" spans="1:7" x14ac:dyDescent="0.3">
      <c r="A38" s="31"/>
      <c r="B38" s="32"/>
      <c r="C38" s="25"/>
      <c r="D38" s="33"/>
      <c r="E38" s="33"/>
      <c r="F38" s="33"/>
      <c r="G38" s="34"/>
    </row>
    <row r="39" spans="1:7" x14ac:dyDescent="0.3">
      <c r="A39" s="31"/>
      <c r="B39" s="32"/>
      <c r="C39" s="36"/>
      <c r="D39" s="33"/>
      <c r="E39" s="33"/>
      <c r="F39" s="33"/>
      <c r="G39" s="34"/>
    </row>
    <row r="40" spans="1:7" x14ac:dyDescent="0.3">
      <c r="A40" s="31"/>
      <c r="B40" s="32"/>
      <c r="C40" s="36"/>
      <c r="D40" s="33"/>
      <c r="E40" s="33"/>
      <c r="F40" s="33"/>
      <c r="G40" s="34"/>
    </row>
    <row r="41" spans="1:7" x14ac:dyDescent="0.3">
      <c r="A41" s="31"/>
      <c r="B41" s="32"/>
      <c r="C41" s="36"/>
      <c r="D41" s="33"/>
      <c r="E41" s="33"/>
      <c r="F41" s="33"/>
      <c r="G41" s="34"/>
    </row>
    <row r="42" spans="1:7" ht="15" thickBot="1" x14ac:dyDescent="0.35">
      <c r="A42" s="31"/>
      <c r="B42" s="32"/>
      <c r="C42" s="25"/>
      <c r="D42" s="33"/>
      <c r="E42" s="33"/>
      <c r="F42" s="33"/>
      <c r="G42" s="35"/>
    </row>
    <row r="43" spans="1:7" ht="15" thickBot="1" x14ac:dyDescent="0.35">
      <c r="A43" s="61" t="s">
        <v>77</v>
      </c>
      <c r="B43" s="62"/>
      <c r="C43" s="62"/>
      <c r="D43" s="37"/>
      <c r="E43" s="37">
        <f>SUM(E23:E42)</f>
        <v>960</v>
      </c>
      <c r="F43" s="37"/>
      <c r="G43" s="38">
        <f>SUM(G23:G42)</f>
        <v>16099.199999999999</v>
      </c>
    </row>
    <row r="44" spans="1:7" x14ac:dyDescent="0.3">
      <c r="A44" s="1" t="s">
        <v>36</v>
      </c>
      <c r="B44" s="2"/>
      <c r="C44" s="2"/>
      <c r="D44" s="2"/>
      <c r="E44" s="2"/>
      <c r="F44" s="39"/>
      <c r="G44" s="40"/>
    </row>
    <row r="45" spans="1:7" x14ac:dyDescent="0.3">
      <c r="A45" s="1" t="s">
        <v>79</v>
      </c>
      <c r="B45" s="2"/>
      <c r="C45" s="2"/>
      <c r="D45" s="2"/>
      <c r="E45" s="2"/>
      <c r="F45" s="41"/>
      <c r="G45" s="40"/>
    </row>
    <row r="46" spans="1:7" x14ac:dyDescent="0.3">
      <c r="A46" s="1"/>
      <c r="B46" s="2"/>
      <c r="C46" s="2"/>
      <c r="D46" s="2"/>
      <c r="E46" s="2"/>
      <c r="F46" s="41"/>
      <c r="G46" s="40"/>
    </row>
    <row r="47" spans="1:7" x14ac:dyDescent="0.3">
      <c r="A47" s="1" t="s">
        <v>37</v>
      </c>
      <c r="B47" s="42">
        <f>B110</f>
        <v>0</v>
      </c>
      <c r="C47" s="2"/>
      <c r="D47" s="2"/>
      <c r="E47" s="2"/>
      <c r="F47" s="41"/>
      <c r="G47" s="40"/>
    </row>
    <row r="48" spans="1:7" x14ac:dyDescent="0.3">
      <c r="A48" s="1" t="s">
        <v>38</v>
      </c>
      <c r="B48" s="42">
        <f>B111</f>
        <v>0</v>
      </c>
      <c r="C48" s="43"/>
      <c r="D48" s="2"/>
      <c r="E48" s="2"/>
      <c r="F48" s="2"/>
      <c r="G48" s="30"/>
    </row>
    <row r="49" spans="1:7" x14ac:dyDescent="0.3">
      <c r="A49" s="1"/>
      <c r="B49" s="42"/>
      <c r="C49" s="43"/>
      <c r="D49" s="2"/>
      <c r="E49" s="2"/>
      <c r="F49" s="2"/>
      <c r="G49" s="30"/>
    </row>
    <row r="50" spans="1:7" x14ac:dyDescent="0.3">
      <c r="A50" s="1"/>
      <c r="B50" s="42"/>
      <c r="C50" s="43"/>
      <c r="D50" s="2"/>
      <c r="E50" s="2"/>
      <c r="F50" s="2"/>
      <c r="G50" s="30"/>
    </row>
    <row r="51" spans="1:7" x14ac:dyDescent="0.3">
      <c r="A51" s="1" t="s">
        <v>39</v>
      </c>
      <c r="B51" s="2"/>
      <c r="C51" s="2"/>
      <c r="D51" s="2"/>
      <c r="E51" s="2"/>
      <c r="F51" s="2"/>
      <c r="G51" s="17"/>
    </row>
    <row r="52" spans="1:7" x14ac:dyDescent="0.3">
      <c r="A52" s="63" t="s">
        <v>40</v>
      </c>
      <c r="B52" s="64"/>
      <c r="C52" s="64"/>
      <c r="D52" s="64"/>
      <c r="E52" s="64"/>
      <c r="F52" s="64"/>
      <c r="G52" s="65"/>
    </row>
    <row r="53" spans="1:7" x14ac:dyDescent="0.3">
      <c r="A53" s="44"/>
      <c r="B53" s="45"/>
      <c r="C53" s="45"/>
      <c r="D53" s="45"/>
      <c r="E53" s="45"/>
      <c r="F53" s="45"/>
      <c r="G53" s="46"/>
    </row>
    <row r="54" spans="1:7" x14ac:dyDescent="0.3">
      <c r="A54" s="44" t="s">
        <v>41</v>
      </c>
      <c r="B54" s="45"/>
      <c r="C54" s="45"/>
      <c r="D54" s="2"/>
      <c r="E54" s="2"/>
      <c r="F54" s="43"/>
      <c r="G54" s="17"/>
    </row>
    <row r="55" spans="1:7" x14ac:dyDescent="0.3">
      <c r="A55" s="63" t="s">
        <v>42</v>
      </c>
      <c r="B55" s="64"/>
      <c r="C55" s="64"/>
      <c r="D55" s="64"/>
      <c r="E55" s="64"/>
      <c r="F55" s="64"/>
      <c r="G55" s="65"/>
    </row>
    <row r="56" spans="1:7" ht="15" thickBot="1" x14ac:dyDescent="0.35">
      <c r="A56" s="44"/>
      <c r="B56" s="45"/>
      <c r="C56" s="45"/>
      <c r="D56" s="45"/>
      <c r="E56" s="45"/>
      <c r="F56" s="45"/>
      <c r="G56" s="46"/>
    </row>
    <row r="57" spans="1:7" x14ac:dyDescent="0.3">
      <c r="A57" s="1" t="s">
        <v>43</v>
      </c>
      <c r="B57" s="2"/>
      <c r="C57" s="2"/>
      <c r="D57" s="53" t="s">
        <v>78</v>
      </c>
      <c r="E57" s="54"/>
      <c r="F57" s="54"/>
      <c r="G57" s="55"/>
    </row>
    <row r="58" spans="1:7" x14ac:dyDescent="0.3">
      <c r="A58" s="1" t="s">
        <v>44</v>
      </c>
      <c r="B58" s="2"/>
      <c r="C58" s="2"/>
      <c r="D58" s="1"/>
      <c r="E58" s="2"/>
      <c r="F58" s="2"/>
      <c r="G58" s="17"/>
    </row>
    <row r="59" spans="1:7" x14ac:dyDescent="0.3">
      <c r="A59" s="1"/>
      <c r="B59" s="2"/>
      <c r="C59" s="2"/>
      <c r="D59" s="1"/>
      <c r="E59" s="2"/>
      <c r="F59" s="2"/>
      <c r="G59" s="17"/>
    </row>
    <row r="60" spans="1:7" x14ac:dyDescent="0.3">
      <c r="A60" s="1"/>
      <c r="B60" s="2"/>
      <c r="C60" s="2"/>
      <c r="D60" s="1"/>
      <c r="E60" s="2"/>
      <c r="F60" s="2"/>
      <c r="G60" s="17"/>
    </row>
    <row r="61" spans="1:7" x14ac:dyDescent="0.3">
      <c r="A61" s="1"/>
      <c r="B61" s="2"/>
      <c r="C61" s="2"/>
      <c r="D61" s="1"/>
      <c r="E61" s="2"/>
      <c r="F61" s="2"/>
      <c r="G61" s="17"/>
    </row>
    <row r="62" spans="1:7" x14ac:dyDescent="0.3">
      <c r="A62" s="1" t="s">
        <v>45</v>
      </c>
      <c r="B62" s="2"/>
      <c r="C62" s="2"/>
      <c r="D62" s="47"/>
      <c r="E62" s="48"/>
      <c r="F62" s="48"/>
      <c r="G62" s="49"/>
    </row>
    <row r="63" spans="1:7" x14ac:dyDescent="0.3">
      <c r="A63" s="1" t="s">
        <v>46</v>
      </c>
      <c r="B63" s="2"/>
      <c r="C63" s="2"/>
      <c r="D63" s="1"/>
      <c r="E63" s="2"/>
      <c r="F63" s="43"/>
      <c r="G63" s="17"/>
    </row>
    <row r="64" spans="1:7" x14ac:dyDescent="0.3">
      <c r="A64" s="1" t="s">
        <v>47</v>
      </c>
      <c r="B64" s="2"/>
      <c r="C64" s="2"/>
      <c r="D64" s="1"/>
      <c r="E64" s="2"/>
      <c r="F64" s="43"/>
      <c r="G64" s="17" t="s">
        <v>6</v>
      </c>
    </row>
    <row r="65" spans="1:7" ht="15" thickBot="1" x14ac:dyDescent="0.35">
      <c r="A65" s="10"/>
      <c r="B65" s="15"/>
      <c r="C65" s="15"/>
      <c r="D65" s="56" t="s">
        <v>48</v>
      </c>
      <c r="E65" s="57"/>
      <c r="F65" s="57"/>
      <c r="G65" s="5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</sheetData>
  <mergeCells count="10">
    <mergeCell ref="C19:C20"/>
    <mergeCell ref="D19:D20"/>
    <mergeCell ref="A1:G2"/>
    <mergeCell ref="F12:G12"/>
    <mergeCell ref="D17:G18"/>
    <mergeCell ref="A43:C43"/>
    <mergeCell ref="A52:G52"/>
    <mergeCell ref="A55:G55"/>
    <mergeCell ref="D57:G57"/>
    <mergeCell ref="D65:G65"/>
  </mergeCells>
  <pageMargins left="0.7" right="0.7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Malas</dc:creator>
  <cp:lastModifiedBy>Anish Dharu</cp:lastModifiedBy>
  <cp:lastPrinted>2024-09-03T11:14:24Z</cp:lastPrinted>
  <dcterms:created xsi:type="dcterms:W3CDTF">2024-04-19T06:08:02Z</dcterms:created>
  <dcterms:modified xsi:type="dcterms:W3CDTF">2026-05-14T21:46:37Z</dcterms:modified>
</cp:coreProperties>
</file>